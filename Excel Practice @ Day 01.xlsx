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4"/>
    <sheet name="Sheet2" sheetId="2" state="visible" r:id="rId5"/>
  </sheets>
  <definedNames>
    <definedName function="false" hidden="false" name="Basic_Salary" vbProcedure="false">Sheet2!$I$2:$I$39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<sst xmlns="http://schemas.openxmlformats.org/spreadsheetml/2006/main" count="311" uniqueCount="137">
  <si>
    <t xml:space="preserve">Product</t>
  </si>
  <si>
    <t xml:space="preserve">Price</t>
  </si>
  <si>
    <t xml:space="preserve">Quantity</t>
  </si>
  <si>
    <t xml:space="preserve">Total</t>
  </si>
  <si>
    <t xml:space="preserve">Sales Percentage</t>
  </si>
  <si>
    <t xml:space="preserve">Laptop</t>
  </si>
  <si>
    <t xml:space="preserve">Mouse</t>
  </si>
  <si>
    <t xml:space="preserve">Keyboard</t>
  </si>
  <si>
    <t xml:space="preserve">Sugar</t>
  </si>
  <si>
    <t xml:space="preserve">Butter</t>
  </si>
  <si>
    <t xml:space="preserve">Flour</t>
  </si>
  <si>
    <t xml:space="preserve">Supplier 1</t>
  </si>
  <si>
    <t xml:space="preserve">Supplier 2</t>
  </si>
  <si>
    <t xml:space="preserve">Discount %</t>
  </si>
  <si>
    <t xml:space="preserve">Discount Amount</t>
  </si>
  <si>
    <t xml:space="preserve">Supplier 3</t>
  </si>
  <si>
    <t xml:space="preserve">Supplier 4</t>
  </si>
  <si>
    <t xml:space="preserve">Supplier 5</t>
  </si>
  <si>
    <t xml:space="preserve">Supplier 6</t>
  </si>
  <si>
    <t xml:space="preserve">Cost</t>
  </si>
  <si>
    <t xml:space="preserve">A18*B17</t>
  </si>
  <si>
    <t xml:space="preserve">A18*C17</t>
  </si>
  <si>
    <t xml:space="preserve">A18*D17</t>
  </si>
  <si>
    <t xml:space="preserve">A19*B17</t>
  </si>
  <si>
    <t xml:space="preserve">A20*B17</t>
  </si>
  <si>
    <t xml:space="preserve">C_Code</t>
  </si>
  <si>
    <t xml:space="preserve">FirstName</t>
  </si>
  <si>
    <t xml:space="preserve">LastName</t>
  </si>
  <si>
    <t xml:space="preserve">Birthdate</t>
  </si>
  <si>
    <t xml:space="preserve">Gender</t>
  </si>
  <si>
    <t xml:space="preserve">M_Status</t>
  </si>
  <si>
    <t xml:space="preserve">Department</t>
  </si>
  <si>
    <t xml:space="preserve">Region</t>
  </si>
  <si>
    <t xml:space="preserve">Basic Salary</t>
  </si>
  <si>
    <t xml:space="preserve">Ram</t>
  </si>
  <si>
    <t xml:space="preserve">Ambradkar</t>
  </si>
  <si>
    <t xml:space="preserve">Female</t>
  </si>
  <si>
    <t xml:space="preserve">Married</t>
  </si>
  <si>
    <t xml:space="preserve">FLM</t>
  </si>
  <si>
    <t xml:space="preserve">North</t>
  </si>
  <si>
    <t xml:space="preserve">Sachin</t>
  </si>
  <si>
    <t xml:space="preserve">Bangera</t>
  </si>
  <si>
    <t xml:space="preserve">Single</t>
  </si>
  <si>
    <t xml:space="preserve">Digital Marketing</t>
  </si>
  <si>
    <t xml:space="preserve">Rajesh</t>
  </si>
  <si>
    <t xml:space="preserve">Bohra</t>
  </si>
  <si>
    <t xml:space="preserve">Descriptive Analysis</t>
  </si>
  <si>
    <t xml:space="preserve">Rajeesh</t>
  </si>
  <si>
    <t xml:space="preserve">C</t>
  </si>
  <si>
    <t xml:space="preserve">Male</t>
  </si>
  <si>
    <t xml:space="preserve">Inside Sales</t>
  </si>
  <si>
    <t xml:space="preserve">South</t>
  </si>
  <si>
    <t xml:space="preserve">Total Salary</t>
  </si>
  <si>
    <t xml:space="preserve">Melwyn</t>
  </si>
  <si>
    <t xml:space="preserve">Crasto</t>
  </si>
  <si>
    <t xml:space="preserve">Marketing</t>
  </si>
  <si>
    <t xml:space="preserve">Average Salary</t>
  </si>
  <si>
    <t xml:space="preserve">Dedhia</t>
  </si>
  <si>
    <t xml:space="preserve">Director</t>
  </si>
  <si>
    <t xml:space="preserve">Median Salary</t>
  </si>
  <si>
    <t xml:space="preserve">Dattatray</t>
  </si>
  <si>
    <t xml:space="preserve">Desai</t>
  </si>
  <si>
    <t xml:space="preserve">Learning &amp; Development</t>
  </si>
  <si>
    <t xml:space="preserve">Mid West</t>
  </si>
  <si>
    <t xml:space="preserve">Total Employees</t>
  </si>
  <si>
    <t xml:space="preserve">Vishnu</t>
  </si>
  <si>
    <t xml:space="preserve">Max Salary</t>
  </si>
  <si>
    <t xml:space="preserve">Dinesh</t>
  </si>
  <si>
    <t xml:space="preserve">Dhanuka</t>
  </si>
  <si>
    <t xml:space="preserve">East</t>
  </si>
  <si>
    <t xml:space="preserve">Min Salary</t>
  </si>
  <si>
    <t xml:space="preserve">Heena</t>
  </si>
  <si>
    <t xml:space="preserve">Dongre</t>
  </si>
  <si>
    <t xml:space="preserve">Dhiren</t>
  </si>
  <si>
    <t xml:space="preserve">Haria</t>
  </si>
  <si>
    <t xml:space="preserve">More Analysis</t>
  </si>
  <si>
    <t xml:space="preserve">Gururaj</t>
  </si>
  <si>
    <t xml:space="preserve">Joshi</t>
  </si>
  <si>
    <t xml:space="preserve">Total Males</t>
  </si>
  <si>
    <t xml:space="preserve">Ruffina</t>
  </si>
  <si>
    <t xml:space="preserve">CEO</t>
  </si>
  <si>
    <t xml:space="preserve">Total Females</t>
  </si>
  <si>
    <t xml:space="preserve">Jagjit</t>
  </si>
  <si>
    <t xml:space="preserve">Kahlon</t>
  </si>
  <si>
    <t xml:space="preserve">CCD</t>
  </si>
  <si>
    <t xml:space="preserve">Total Employees working in North</t>
  </si>
  <si>
    <t xml:space="preserve">Piyush</t>
  </si>
  <si>
    <t xml:space="preserve">Kamdar</t>
  </si>
  <si>
    <t xml:space="preserve">Average Salary Paid to Sales Department of South Region</t>
  </si>
  <si>
    <t xml:space="preserve">D</t>
  </si>
  <si>
    <t xml:space="preserve">Kulkarni</t>
  </si>
  <si>
    <t xml:space="preserve">Max Salary paid in FLM</t>
  </si>
  <si>
    <t xml:space="preserve">Raju</t>
  </si>
  <si>
    <t xml:space="preserve">Manek</t>
  </si>
  <si>
    <t xml:space="preserve">Min Salary paid in East Region</t>
  </si>
  <si>
    <t xml:space="preserve">Yogesh</t>
  </si>
  <si>
    <t xml:space="preserve">Mansharamani</t>
  </si>
  <si>
    <t xml:space="preserve">Satish</t>
  </si>
  <si>
    <t xml:space="preserve">Pasari</t>
  </si>
  <si>
    <t xml:space="preserve">Nitin</t>
  </si>
  <si>
    <t xml:space="preserve">Patki</t>
  </si>
  <si>
    <t xml:space="preserve">Operations</t>
  </si>
  <si>
    <t xml:space="preserve">Prem</t>
  </si>
  <si>
    <t xml:space="preserve">Pherwani</t>
  </si>
  <si>
    <t xml:space="preserve">Finance</t>
  </si>
  <si>
    <t xml:space="preserve">Region Wise Department  Report</t>
  </si>
  <si>
    <t xml:space="preserve">Sudesh</t>
  </si>
  <si>
    <t xml:space="preserve">Pillai</t>
  </si>
  <si>
    <t xml:space="preserve">Department/Region</t>
  </si>
  <si>
    <t xml:space="preserve">Boneca</t>
  </si>
  <si>
    <t xml:space="preserve">Rego</t>
  </si>
  <si>
    <t xml:space="preserve">Sharadchandra</t>
  </si>
  <si>
    <t xml:space="preserve">Riswadkar</t>
  </si>
  <si>
    <t xml:space="preserve">Simon</t>
  </si>
  <si>
    <t xml:space="preserve">Rodrigues</t>
  </si>
  <si>
    <t xml:space="preserve">Ashok</t>
  </si>
  <si>
    <t xml:space="preserve">Samtaney</t>
  </si>
  <si>
    <t xml:space="preserve">Sales</t>
  </si>
  <si>
    <t xml:space="preserve">Praful</t>
  </si>
  <si>
    <t xml:space="preserve">Savla</t>
  </si>
  <si>
    <t xml:space="preserve">Stan</t>
  </si>
  <si>
    <t xml:space="preserve">Serrao</t>
  </si>
  <si>
    <t xml:space="preserve">Shah</t>
  </si>
  <si>
    <t xml:space="preserve">Sheth</t>
  </si>
  <si>
    <t xml:space="preserve">Shankar</t>
  </si>
  <si>
    <t xml:space="preserve">Shetty</t>
  </si>
  <si>
    <t xml:space="preserve">Kawdoor</t>
  </si>
  <si>
    <t xml:space="preserve">Venitha</t>
  </si>
  <si>
    <t xml:space="preserve">Tulsidas</t>
  </si>
  <si>
    <t xml:space="preserve">Rajeev</t>
  </si>
  <si>
    <t xml:space="preserve">Singh</t>
  </si>
  <si>
    <t xml:space="preserve">Bobby</t>
  </si>
  <si>
    <t xml:space="preserve">Tanna</t>
  </si>
  <si>
    <t xml:space="preserve">Jitendra</t>
  </si>
  <si>
    <t xml:space="preserve">Thacker</t>
  </si>
  <si>
    <t xml:space="preserve">Yashraj</t>
  </si>
  <si>
    <t xml:space="preserve">Vaidya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</si>
</sst>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₹ &quot;#,##0.00"/>
    <numFmt numFmtId="166" formatCode="0%"/>
    <numFmt numFmtId="167" formatCode="dd\-mmm\-yy"/>
    <numFmt numFmtId="168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A8D08D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3" type="wholeTable"/>
      <tableStyleElement dxfId="4" type="firstColumnStripe"/>
      <tableStyleElement dxfId="5" type="firstRowStripe"/>
      <tableStyleElement dxfId="6" type="lastColumn"/>
      <tableStyleElement dxfId="7" type="firstColumn"/>
      <tableStyleElement dxfId="8" type="headerRow"/>
      <tableStyleElement dxfId="9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1" displayName="Table1" ref="A1:I39" headerRowCount="1" totalsRowCount="0" totalsRowShown="0">
  <autoFilter ref="A1:I39"/>
  <tableColumns count="9">
    <tableColumn id="1" name="C_Code"/>
    <tableColumn id="2" name="FirstName"/>
    <tableColumn id="3" name="LastName"/>
    <tableColumn id="4" name="Birthdate"/>
    <tableColumn id="5" name="Gender"/>
    <tableColumn id="6" name="M_Status"/>
    <tableColumn id="7" name="Department"/>
    <tableColumn id="8" name="Region"/>
    <tableColumn id="9" name="Basic 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5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7" activeCellId="0" sqref="D7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5" min="5" style="1" width="12.22"/>
  </cols>
  <sheetData>
    <row r="2" customFormat="false" ht="2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14.25" hidden="false" customHeight="false" outlineLevel="0" collapsed="false">
      <c r="A3" s="3" t="s">
        <v>5</v>
      </c>
      <c r="B3" s="3" t="n">
        <v>40000</v>
      </c>
      <c r="C3" s="3" t="n">
        <v>2</v>
      </c>
      <c r="D3" s="3" t="n">
        <f aca="false">B3*C3</f>
        <v>80000</v>
      </c>
      <c r="E3" s="4" t="n">
        <f aca="false">D3/D6</f>
        <v>0.833333333333333</v>
      </c>
      <c r="K3" s="5" t="s">
        <v>1</v>
      </c>
    </row>
    <row r="4" customFormat="false" ht="14.25" hidden="false" customHeight="false" outlineLevel="0" collapsed="false">
      <c r="A4" s="3" t="s">
        <v>6</v>
      </c>
      <c r="B4" s="3" t="n">
        <v>2000</v>
      </c>
      <c r="C4" s="3" t="n">
        <v>5</v>
      </c>
      <c r="D4" s="3" t="n">
        <f aca="false">B4*C4</f>
        <v>10000</v>
      </c>
      <c r="E4" s="4"/>
      <c r="J4" s="5"/>
      <c r="K4" s="6" t="n">
        <v>0.4</v>
      </c>
      <c r="L4" s="6" t="n">
        <v>1.2</v>
      </c>
      <c r="M4" s="6" t="n">
        <v>0.12</v>
      </c>
    </row>
    <row r="5" customFormat="false" ht="14.25" hidden="false" customHeight="false" outlineLevel="0" collapsed="false">
      <c r="A5" s="3" t="s">
        <v>7</v>
      </c>
      <c r="B5" s="3" t="n">
        <v>2000</v>
      </c>
      <c r="C5" s="3" t="n">
        <v>3</v>
      </c>
      <c r="D5" s="3" t="n">
        <f aca="false">B5*C5</f>
        <v>6000</v>
      </c>
      <c r="E5" s="4"/>
      <c r="J5" s="5" t="s">
        <v>2</v>
      </c>
      <c r="K5" s="1" t="s">
        <v>8</v>
      </c>
      <c r="L5" s="1" t="s">
        <v>9</v>
      </c>
      <c r="M5" s="1" t="s">
        <v>10</v>
      </c>
    </row>
    <row r="6" customFormat="false" ht="14.25" hidden="false" customHeight="false" outlineLevel="0" collapsed="false">
      <c r="D6" s="1" t="n">
        <f aca="false">SUM(D3,D4,D5)</f>
        <v>96000</v>
      </c>
      <c r="J6" s="1" t="s">
        <v>11</v>
      </c>
      <c r="K6" s="1" t="n">
        <v>364</v>
      </c>
      <c r="L6" s="1" t="n">
        <v>391</v>
      </c>
      <c r="M6" s="1" t="n">
        <v>220</v>
      </c>
    </row>
    <row r="7" customFormat="false" ht="14.25" hidden="false" customHeight="false" outlineLevel="0" collapsed="false">
      <c r="J7" s="1" t="s">
        <v>12</v>
      </c>
      <c r="K7" s="1" t="n">
        <v>387</v>
      </c>
      <c r="L7" s="1" t="n">
        <v>245</v>
      </c>
      <c r="M7" s="1" t="n">
        <v>314</v>
      </c>
    </row>
    <row r="8" customFormat="false" ht="27" hidden="false" customHeight="true" outlineLevel="0" collapsed="false">
      <c r="A8" s="2" t="s">
        <v>0</v>
      </c>
      <c r="B8" s="2" t="s">
        <v>1</v>
      </c>
      <c r="C8" s="2" t="s">
        <v>13</v>
      </c>
      <c r="D8" s="2" t="s">
        <v>14</v>
      </c>
      <c r="J8" s="1" t="s">
        <v>15</v>
      </c>
      <c r="K8" s="1" t="n">
        <v>290</v>
      </c>
      <c r="L8" s="1" t="n">
        <v>211</v>
      </c>
      <c r="M8" s="1" t="n">
        <v>200</v>
      </c>
    </row>
    <row r="9" customFormat="false" ht="14.25" hidden="false" customHeight="false" outlineLevel="0" collapsed="false">
      <c r="A9" s="3" t="s">
        <v>5</v>
      </c>
      <c r="B9" s="3" t="n">
        <v>50000</v>
      </c>
      <c r="C9" s="7" t="n">
        <v>0.1</v>
      </c>
      <c r="D9" s="3"/>
      <c r="J9" s="1" t="s">
        <v>16</v>
      </c>
      <c r="K9" s="1" t="n">
        <v>340</v>
      </c>
      <c r="L9" s="1" t="n">
        <v>265</v>
      </c>
      <c r="M9" s="1" t="n">
        <v>330</v>
      </c>
    </row>
    <row r="10" customFormat="false" ht="14.25" hidden="false" customHeight="false" outlineLevel="0" collapsed="false">
      <c r="A10" s="3" t="s">
        <v>6</v>
      </c>
      <c r="B10" s="3" t="n">
        <v>1000</v>
      </c>
      <c r="C10" s="7"/>
      <c r="D10" s="3"/>
      <c r="J10" s="1" t="s">
        <v>17</v>
      </c>
      <c r="K10" s="1" t="n">
        <v>261</v>
      </c>
      <c r="L10" s="1" t="n">
        <v>345</v>
      </c>
      <c r="M10" s="1" t="n">
        <v>246</v>
      </c>
    </row>
    <row r="11" customFormat="false" ht="14.25" hidden="false" customHeight="false" outlineLevel="0" collapsed="false">
      <c r="A11" s="3" t="s">
        <v>7</v>
      </c>
      <c r="B11" s="3" t="n">
        <v>2000</v>
      </c>
      <c r="C11" s="7"/>
      <c r="D11" s="3"/>
      <c r="J11" s="1" t="s">
        <v>18</v>
      </c>
      <c r="K11" s="1" t="n">
        <v>365</v>
      </c>
      <c r="L11" s="1" t="n">
        <v>232</v>
      </c>
      <c r="M11" s="1" t="n">
        <v>390</v>
      </c>
    </row>
    <row r="13" customFormat="false" ht="14.25" hidden="false" customHeight="false" outlineLevel="0" collapsed="false">
      <c r="B13" s="8"/>
    </row>
    <row r="14" customFormat="false" ht="14.25" hidden="false" customHeight="false" outlineLevel="0" collapsed="false">
      <c r="J14" s="5" t="s">
        <v>19</v>
      </c>
    </row>
    <row r="15" customFormat="false" ht="14.25" hidden="false" customHeight="false" outlineLevel="0" collapsed="false">
      <c r="K15" s="1" t="s">
        <v>8</v>
      </c>
      <c r="L15" s="1" t="s">
        <v>9</v>
      </c>
      <c r="M15" s="1" t="s">
        <v>10</v>
      </c>
      <c r="N15" s="1" t="s">
        <v>3</v>
      </c>
    </row>
    <row r="16" customFormat="false" ht="14.25" hidden="false" customHeight="false" outlineLevel="0" collapsed="false">
      <c r="B16" s="2"/>
      <c r="C16" s="9"/>
      <c r="D16" s="9"/>
      <c r="E16" s="9"/>
      <c r="F16" s="9"/>
      <c r="J16" s="1" t="s">
        <v>11</v>
      </c>
      <c r="K16" s="6"/>
      <c r="L16" s="6"/>
      <c r="M16" s="6"/>
      <c r="N16" s="10"/>
    </row>
    <row r="17" customFormat="false" ht="14.25" hidden="false" customHeight="false" outlineLevel="0" collapsed="false">
      <c r="B17" s="1" t="n">
        <v>1</v>
      </c>
      <c r="C17" s="8" t="n">
        <v>2</v>
      </c>
      <c r="D17" s="8" t="n">
        <v>3</v>
      </c>
      <c r="E17" s="8" t="n">
        <v>4</v>
      </c>
      <c r="F17" s="8" t="n">
        <v>5</v>
      </c>
      <c r="J17" s="1" t="s">
        <v>12</v>
      </c>
      <c r="K17" s="6"/>
      <c r="L17" s="6"/>
      <c r="M17" s="6"/>
      <c r="N17" s="10"/>
    </row>
    <row r="18" customFormat="false" ht="14.25" hidden="false" customHeight="false" outlineLevel="0" collapsed="false">
      <c r="A18" s="11" t="n">
        <v>1</v>
      </c>
      <c r="B18" s="8" t="n">
        <f aca="false">$A18*B$17</f>
        <v>1</v>
      </c>
      <c r="C18" s="8" t="n">
        <f aca="false">$A18*C$17</f>
        <v>2</v>
      </c>
      <c r="D18" s="8" t="n">
        <f aca="false">$A18*D$17</f>
        <v>3</v>
      </c>
      <c r="E18" s="8" t="n">
        <f aca="false">$A18*E$17</f>
        <v>4</v>
      </c>
      <c r="F18" s="8" t="n">
        <f aca="false">$A18*F$17</f>
        <v>5</v>
      </c>
      <c r="J18" s="1" t="s">
        <v>15</v>
      </c>
      <c r="K18" s="6"/>
      <c r="L18" s="6"/>
      <c r="M18" s="6"/>
      <c r="N18" s="10"/>
    </row>
    <row r="19" customFormat="false" ht="14.25" hidden="false" customHeight="false" outlineLevel="0" collapsed="false">
      <c r="A19" s="11" t="n">
        <v>2</v>
      </c>
      <c r="B19" s="8" t="n">
        <f aca="false">$A19*B$17</f>
        <v>2</v>
      </c>
      <c r="C19" s="8" t="n">
        <f aca="false">$A19*C$17</f>
        <v>4</v>
      </c>
      <c r="D19" s="8" t="n">
        <f aca="false">$A19*D$17</f>
        <v>6</v>
      </c>
      <c r="E19" s="8" t="n">
        <f aca="false">$A19*E$17</f>
        <v>8</v>
      </c>
      <c r="F19" s="8" t="n">
        <f aca="false">$A19*F$17</f>
        <v>10</v>
      </c>
      <c r="J19" s="1" t="s">
        <v>16</v>
      </c>
      <c r="K19" s="6"/>
      <c r="L19" s="6"/>
      <c r="M19" s="6"/>
      <c r="N19" s="10"/>
    </row>
    <row r="20" customFormat="false" ht="14.25" hidden="false" customHeight="false" outlineLevel="0" collapsed="false">
      <c r="A20" s="11" t="n">
        <v>3</v>
      </c>
      <c r="B20" s="8" t="n">
        <f aca="false">$A20*B$17</f>
        <v>3</v>
      </c>
      <c r="C20" s="8" t="n">
        <f aca="false">$A20*C$17</f>
        <v>6</v>
      </c>
      <c r="D20" s="8" t="n">
        <f aca="false">$A20*D$17</f>
        <v>9</v>
      </c>
      <c r="E20" s="8" t="n">
        <f aca="false">$A20*E$17</f>
        <v>12</v>
      </c>
      <c r="F20" s="8" t="n">
        <f aca="false">$A20*F$17</f>
        <v>15</v>
      </c>
      <c r="J20" s="1" t="s">
        <v>17</v>
      </c>
      <c r="K20" s="6"/>
      <c r="L20" s="6"/>
      <c r="M20" s="6"/>
      <c r="N20" s="10"/>
    </row>
    <row r="21" customFormat="false" ht="14.25" hidden="false" customHeight="false" outlineLevel="0" collapsed="false">
      <c r="A21" s="11" t="n">
        <v>4</v>
      </c>
      <c r="B21" s="8" t="n">
        <f aca="false">$A21*B$17</f>
        <v>4</v>
      </c>
      <c r="C21" s="8" t="n">
        <f aca="false">$A21*C$17</f>
        <v>8</v>
      </c>
      <c r="D21" s="8" t="n">
        <f aca="false">$A21*D$17</f>
        <v>12</v>
      </c>
      <c r="E21" s="8" t="n">
        <f aca="false">$A21*E$17</f>
        <v>16</v>
      </c>
      <c r="F21" s="8" t="n">
        <f aca="false">$A21*F$17</f>
        <v>20</v>
      </c>
      <c r="J21" s="1" t="s">
        <v>18</v>
      </c>
      <c r="K21" s="6"/>
      <c r="L21" s="6"/>
      <c r="M21" s="6"/>
      <c r="N21" s="10"/>
    </row>
    <row r="22" customFormat="false" ht="14.25" hidden="false" customHeight="false" outlineLevel="0" collapsed="false">
      <c r="A22" s="11" t="n">
        <v>5</v>
      </c>
      <c r="B22" s="8" t="n">
        <f aca="false">$A22*B$17</f>
        <v>5</v>
      </c>
      <c r="C22" s="8" t="n">
        <f aca="false">$A22*C$17</f>
        <v>10</v>
      </c>
      <c r="D22" s="8" t="n">
        <f aca="false">$A22*D$17</f>
        <v>15</v>
      </c>
      <c r="E22" s="8" t="n">
        <f aca="false">$A22*E$17</f>
        <v>20</v>
      </c>
      <c r="F22" s="8" t="n">
        <f aca="false">$A22*F$17</f>
        <v>25</v>
      </c>
      <c r="J22" s="5" t="s">
        <v>3</v>
      </c>
      <c r="K22" s="6"/>
      <c r="L22" s="6"/>
      <c r="M22" s="6"/>
      <c r="N22" s="10"/>
    </row>
    <row r="23" customFormat="false" ht="14.25" hidden="false" customHeight="false" outlineLevel="0" collapsed="false">
      <c r="B23" s="1" t="s">
        <v>20</v>
      </c>
      <c r="C23" s="1" t="s">
        <v>21</v>
      </c>
      <c r="D23" s="1" t="s">
        <v>22</v>
      </c>
    </row>
    <row r="24" customFormat="false" ht="14.25" hidden="false" customHeight="false" outlineLevel="0" collapsed="false">
      <c r="B24" s="1" t="s">
        <v>23</v>
      </c>
    </row>
    <row r="25" customFormat="false" ht="14.25" hidden="false" customHeight="false" outlineLevel="0" collapsed="false">
      <c r="B25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M24" activeCellId="0" sqref="M24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11.33"/>
    <col collapsed="false" customWidth="true" hidden="false" outlineLevel="0" max="3" min="3" style="1" width="11.22"/>
    <col collapsed="false" customWidth="true" hidden="false" outlineLevel="0" max="4" min="4" style="1" width="10.66"/>
    <col collapsed="false" customWidth="true" hidden="false" outlineLevel="0" max="5" min="5" style="1" width="9"/>
    <col collapsed="false" customWidth="true" hidden="false" outlineLevel="0" max="6" min="6" style="1" width="10.88"/>
    <col collapsed="false" customWidth="true" hidden="false" outlineLevel="0" max="7" min="7" style="1" width="13"/>
    <col collapsed="false" customWidth="true" hidden="false" outlineLevel="0" max="9" min="9" style="1" width="12.67"/>
    <col collapsed="false" customWidth="true" hidden="false" outlineLevel="0" max="12" min="12" style="1" width="48.67"/>
    <col collapsed="false" customWidth="true" hidden="false" outlineLevel="0" max="13" min="13" style="1" width="13.11"/>
    <col collapsed="false" customWidth="true" hidden="false" outlineLevel="0" max="14" min="14" style="1" width="11.67"/>
    <col collapsed="false" customWidth="true" hidden="false" outlineLevel="0" max="15" min="15" style="1" width="13.44"/>
    <col collapsed="false" customWidth="true" hidden="false" outlineLevel="0" max="16" min="16" style="1" width="14"/>
  </cols>
  <sheetData>
    <row r="1" customFormat="false" ht="14.25" hidden="false" customHeight="false" outlineLevel="0" collapsed="false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</row>
    <row r="2" customFormat="false" ht="14.25" hidden="false" customHeight="false" outlineLevel="0" collapsed="false">
      <c r="A2" s="1" t="n">
        <v>150834</v>
      </c>
      <c r="B2" s="1" t="s">
        <v>34</v>
      </c>
      <c r="C2" s="1" t="s">
        <v>35</v>
      </c>
      <c r="D2" s="13" t="n">
        <v>31199</v>
      </c>
      <c r="E2" s="1" t="s">
        <v>36</v>
      </c>
      <c r="F2" s="1" t="s">
        <v>37</v>
      </c>
      <c r="G2" s="1" t="s">
        <v>38</v>
      </c>
      <c r="H2" s="1" t="s">
        <v>39</v>
      </c>
      <c r="I2" s="14" t="n">
        <v>48000</v>
      </c>
    </row>
    <row r="3" customFormat="false" ht="14.25" hidden="false" customHeight="false" outlineLevel="0" collapsed="false">
      <c r="A3" s="1" t="n">
        <v>150784</v>
      </c>
      <c r="B3" s="1" t="s">
        <v>40</v>
      </c>
      <c r="C3" s="1" t="s">
        <v>41</v>
      </c>
      <c r="D3" s="13" t="n">
        <v>28365</v>
      </c>
      <c r="E3" s="1" t="s">
        <v>36</v>
      </c>
      <c r="F3" s="1" t="s">
        <v>42</v>
      </c>
      <c r="G3" s="1" t="s">
        <v>43</v>
      </c>
      <c r="H3" s="1" t="s">
        <v>39</v>
      </c>
      <c r="I3" s="14" t="n">
        <v>35000</v>
      </c>
    </row>
    <row r="4" customFormat="false" ht="14.25" hidden="false" customHeight="false" outlineLevel="0" collapsed="false">
      <c r="A4" s="1" t="n">
        <v>150791</v>
      </c>
      <c r="B4" s="1" t="s">
        <v>44</v>
      </c>
      <c r="C4" s="1" t="s">
        <v>45</v>
      </c>
      <c r="D4" s="13" t="n">
        <v>59871</v>
      </c>
      <c r="E4" s="1" t="s">
        <v>36</v>
      </c>
      <c r="F4" s="1" t="s">
        <v>37</v>
      </c>
      <c r="G4" s="1" t="s">
        <v>43</v>
      </c>
      <c r="H4" s="1" t="s">
        <v>39</v>
      </c>
      <c r="I4" s="14" t="n">
        <v>67000</v>
      </c>
      <c r="L4" s="15" t="s">
        <v>46</v>
      </c>
      <c r="M4" s="15"/>
    </row>
    <row r="5" customFormat="false" ht="14.25" hidden="false" customHeight="false" outlineLevel="0" collapsed="false">
      <c r="A5" s="1" t="n">
        <v>150940</v>
      </c>
      <c r="B5" s="1" t="s">
        <v>47</v>
      </c>
      <c r="C5" s="1" t="s">
        <v>48</v>
      </c>
      <c r="D5" s="13" t="n">
        <v>26906</v>
      </c>
      <c r="E5" s="1" t="s">
        <v>49</v>
      </c>
      <c r="F5" s="1" t="s">
        <v>42</v>
      </c>
      <c r="G5" s="1" t="s">
        <v>50</v>
      </c>
      <c r="H5" s="1" t="s">
        <v>51</v>
      </c>
      <c r="I5" s="14" t="n">
        <v>87000</v>
      </c>
      <c r="L5" s="16" t="s">
        <v>52</v>
      </c>
      <c r="M5" s="17"/>
    </row>
    <row r="6" customFormat="false" ht="14.25" hidden="false" customHeight="false" outlineLevel="0" collapsed="false">
      <c r="A6" s="1" t="n">
        <v>150777</v>
      </c>
      <c r="B6" s="1" t="s">
        <v>53</v>
      </c>
      <c r="C6" s="1" t="s">
        <v>54</v>
      </c>
      <c r="D6" s="13" t="n">
        <v>57648</v>
      </c>
      <c r="E6" s="1" t="s">
        <v>49</v>
      </c>
      <c r="F6" s="1" t="s">
        <v>37</v>
      </c>
      <c r="G6" s="1" t="s">
        <v>55</v>
      </c>
      <c r="H6" s="1" t="s">
        <v>39</v>
      </c>
      <c r="I6" s="14" t="n">
        <v>22000</v>
      </c>
      <c r="L6" s="16" t="s">
        <v>56</v>
      </c>
      <c r="M6" s="17"/>
    </row>
    <row r="7" customFormat="false" ht="14.25" hidden="false" customHeight="false" outlineLevel="0" collapsed="false">
      <c r="A7" s="1" t="n">
        <v>150805</v>
      </c>
      <c r="B7" s="1" t="s">
        <v>44</v>
      </c>
      <c r="C7" s="1" t="s">
        <v>57</v>
      </c>
      <c r="D7" s="13" t="n">
        <v>26172</v>
      </c>
      <c r="E7" s="1" t="s">
        <v>49</v>
      </c>
      <c r="F7" s="1" t="s">
        <v>37</v>
      </c>
      <c r="G7" s="1" t="s">
        <v>58</v>
      </c>
      <c r="H7" s="1" t="s">
        <v>39</v>
      </c>
      <c r="I7" s="14" t="n">
        <v>91000</v>
      </c>
      <c r="L7" s="16" t="s">
        <v>59</v>
      </c>
      <c r="M7" s="18"/>
    </row>
    <row r="8" customFormat="false" ht="14.25" hidden="false" customHeight="false" outlineLevel="0" collapsed="false">
      <c r="A8" s="1" t="n">
        <v>150990</v>
      </c>
      <c r="B8" s="1" t="s">
        <v>60</v>
      </c>
      <c r="C8" s="1" t="s">
        <v>61</v>
      </c>
      <c r="D8" s="13" t="n">
        <v>36400</v>
      </c>
      <c r="E8" s="1" t="s">
        <v>49</v>
      </c>
      <c r="F8" s="1" t="s">
        <v>37</v>
      </c>
      <c r="G8" s="1" t="s">
        <v>62</v>
      </c>
      <c r="H8" s="1" t="s">
        <v>63</v>
      </c>
      <c r="I8" s="14" t="n">
        <v>77000</v>
      </c>
      <c r="L8" s="16" t="s">
        <v>64</v>
      </c>
      <c r="M8" s="18"/>
    </row>
    <row r="9" customFormat="false" ht="14.25" hidden="false" customHeight="false" outlineLevel="0" collapsed="false">
      <c r="A9" s="1" t="n">
        <v>150989</v>
      </c>
      <c r="B9" s="1" t="s">
        <v>65</v>
      </c>
      <c r="C9" s="1" t="s">
        <v>61</v>
      </c>
      <c r="D9" s="13" t="n">
        <v>33113</v>
      </c>
      <c r="E9" s="1" t="s">
        <v>49</v>
      </c>
      <c r="F9" s="1" t="s">
        <v>37</v>
      </c>
      <c r="G9" s="1" t="s">
        <v>43</v>
      </c>
      <c r="H9" s="1" t="s">
        <v>63</v>
      </c>
      <c r="I9" s="14" t="n">
        <v>45000</v>
      </c>
      <c r="L9" s="16" t="s">
        <v>66</v>
      </c>
      <c r="M9" s="18"/>
    </row>
    <row r="10" customFormat="false" ht="14.25" hidden="false" customHeight="false" outlineLevel="0" collapsed="false">
      <c r="A10" s="1" t="n">
        <v>150881</v>
      </c>
      <c r="B10" s="1" t="s">
        <v>67</v>
      </c>
      <c r="C10" s="1" t="s">
        <v>68</v>
      </c>
      <c r="D10" s="13" t="n">
        <v>30337</v>
      </c>
      <c r="E10" s="1" t="s">
        <v>49</v>
      </c>
      <c r="F10" s="1" t="s">
        <v>42</v>
      </c>
      <c r="G10" s="1" t="s">
        <v>43</v>
      </c>
      <c r="H10" s="1" t="s">
        <v>69</v>
      </c>
      <c r="I10" s="14" t="n">
        <v>92000</v>
      </c>
      <c r="L10" s="16" t="s">
        <v>70</v>
      </c>
      <c r="M10" s="18"/>
    </row>
    <row r="11" customFormat="false" ht="14.25" hidden="false" customHeight="false" outlineLevel="0" collapsed="false">
      <c r="A11" s="1" t="n">
        <v>150814</v>
      </c>
      <c r="B11" s="1" t="s">
        <v>71</v>
      </c>
      <c r="C11" s="1" t="s">
        <v>72</v>
      </c>
      <c r="D11" s="13" t="n">
        <v>26246</v>
      </c>
      <c r="E11" s="1" t="s">
        <v>49</v>
      </c>
      <c r="F11" s="1" t="s">
        <v>37</v>
      </c>
      <c r="G11" s="1" t="s">
        <v>50</v>
      </c>
      <c r="H11" s="1" t="s">
        <v>39</v>
      </c>
      <c r="I11" s="14" t="n">
        <v>50000</v>
      </c>
    </row>
    <row r="12" customFormat="false" ht="14.25" hidden="false" customHeight="false" outlineLevel="0" collapsed="false">
      <c r="A12" s="1" t="n">
        <v>150937</v>
      </c>
      <c r="B12" s="1" t="s">
        <v>73</v>
      </c>
      <c r="C12" s="1" t="s">
        <v>74</v>
      </c>
      <c r="D12" s="13" t="n">
        <v>61225</v>
      </c>
      <c r="E12" s="1" t="s">
        <v>49</v>
      </c>
      <c r="F12" s="1" t="s">
        <v>37</v>
      </c>
      <c r="G12" s="1" t="s">
        <v>62</v>
      </c>
      <c r="H12" s="1" t="s">
        <v>51</v>
      </c>
      <c r="I12" s="14" t="n">
        <v>37000</v>
      </c>
      <c r="L12" s="15" t="s">
        <v>75</v>
      </c>
      <c r="M12" s="15"/>
    </row>
    <row r="13" customFormat="false" ht="14.25" hidden="false" customHeight="false" outlineLevel="0" collapsed="false">
      <c r="A13" s="1" t="n">
        <v>150888</v>
      </c>
      <c r="B13" s="1" t="s">
        <v>76</v>
      </c>
      <c r="C13" s="1" t="s">
        <v>77</v>
      </c>
      <c r="D13" s="13" t="n">
        <v>29221</v>
      </c>
      <c r="E13" s="1" t="s">
        <v>49</v>
      </c>
      <c r="F13" s="1" t="s">
        <v>37</v>
      </c>
      <c r="G13" s="1" t="s">
        <v>62</v>
      </c>
      <c r="H13" s="1" t="s">
        <v>69</v>
      </c>
      <c r="I13" s="14" t="n">
        <v>43000</v>
      </c>
      <c r="L13" s="19" t="s">
        <v>78</v>
      </c>
      <c r="M13" s="18"/>
    </row>
    <row r="14" customFormat="false" ht="14.25" hidden="false" customHeight="false" outlineLevel="0" collapsed="false">
      <c r="A14" s="1" t="n">
        <v>150865</v>
      </c>
      <c r="B14" s="1" t="s">
        <v>79</v>
      </c>
      <c r="C14" s="1" t="s">
        <v>77</v>
      </c>
      <c r="D14" s="13" t="n">
        <v>31279</v>
      </c>
      <c r="E14" s="1" t="s">
        <v>36</v>
      </c>
      <c r="F14" s="1" t="s">
        <v>37</v>
      </c>
      <c r="G14" s="1" t="s">
        <v>80</v>
      </c>
      <c r="H14" s="1" t="s">
        <v>69</v>
      </c>
      <c r="I14" s="14" t="n">
        <v>90000</v>
      </c>
      <c r="L14" s="19" t="s">
        <v>81</v>
      </c>
      <c r="M14" s="18"/>
    </row>
    <row r="15" customFormat="false" ht="14.25" hidden="false" customHeight="false" outlineLevel="0" collapsed="false">
      <c r="A15" s="1" t="n">
        <v>150858</v>
      </c>
      <c r="B15" s="1" t="s">
        <v>82</v>
      </c>
      <c r="C15" s="1" t="s">
        <v>83</v>
      </c>
      <c r="D15" s="13" t="n">
        <v>34846</v>
      </c>
      <c r="E15" s="1" t="s">
        <v>49</v>
      </c>
      <c r="F15" s="1" t="s">
        <v>37</v>
      </c>
      <c r="G15" s="1" t="s">
        <v>84</v>
      </c>
      <c r="H15" s="1" t="s">
        <v>69</v>
      </c>
      <c r="I15" s="14" t="n">
        <v>34000</v>
      </c>
      <c r="L15" s="19" t="s">
        <v>85</v>
      </c>
      <c r="M15" s="18"/>
    </row>
    <row r="16" customFormat="false" ht="14.25" hidden="false" customHeight="false" outlineLevel="0" collapsed="false">
      <c r="A16" s="1" t="n">
        <v>150930</v>
      </c>
      <c r="B16" s="1" t="s">
        <v>86</v>
      </c>
      <c r="C16" s="1" t="s">
        <v>87</v>
      </c>
      <c r="D16" s="13" t="n">
        <v>37027</v>
      </c>
      <c r="E16" s="1" t="s">
        <v>49</v>
      </c>
      <c r="F16" s="1" t="s">
        <v>37</v>
      </c>
      <c r="G16" s="1" t="s">
        <v>43</v>
      </c>
      <c r="H16" s="1" t="s">
        <v>51</v>
      </c>
      <c r="I16" s="14" t="n">
        <v>82000</v>
      </c>
      <c r="L16" s="19" t="s">
        <v>88</v>
      </c>
      <c r="M16" s="18"/>
    </row>
    <row r="17" customFormat="false" ht="14.25" hidden="false" customHeight="false" outlineLevel="0" collapsed="false">
      <c r="A17" s="1" t="n">
        <v>150894</v>
      </c>
      <c r="B17" s="1" t="s">
        <v>89</v>
      </c>
      <c r="C17" s="1" t="s">
        <v>90</v>
      </c>
      <c r="D17" s="13" t="n">
        <v>37124</v>
      </c>
      <c r="E17" s="1" t="s">
        <v>49</v>
      </c>
      <c r="F17" s="1" t="s">
        <v>37</v>
      </c>
      <c r="G17" s="1" t="s">
        <v>50</v>
      </c>
      <c r="H17" s="1" t="s">
        <v>51</v>
      </c>
      <c r="I17" s="14" t="n">
        <v>67000</v>
      </c>
      <c r="L17" s="19" t="s">
        <v>91</v>
      </c>
      <c r="M17" s="18"/>
    </row>
    <row r="18" customFormat="false" ht="14.25" hidden="false" customHeight="false" outlineLevel="0" collapsed="false">
      <c r="A18" s="1" t="n">
        <v>150947</v>
      </c>
      <c r="B18" s="1" t="s">
        <v>92</v>
      </c>
      <c r="C18" s="1" t="s">
        <v>93</v>
      </c>
      <c r="D18" s="13" t="n">
        <v>33449</v>
      </c>
      <c r="E18" s="1" t="s">
        <v>36</v>
      </c>
      <c r="F18" s="1" t="s">
        <v>37</v>
      </c>
      <c r="G18" s="1" t="s">
        <v>84</v>
      </c>
      <c r="H18" s="1" t="s">
        <v>51</v>
      </c>
      <c r="I18" s="14" t="n">
        <v>85000</v>
      </c>
      <c r="L18" s="19" t="s">
        <v>94</v>
      </c>
      <c r="M18" s="18"/>
    </row>
    <row r="19" customFormat="false" ht="14.25" hidden="false" customHeight="false" outlineLevel="0" collapsed="false">
      <c r="A19" s="1" t="n">
        <v>150905</v>
      </c>
      <c r="B19" s="1" t="s">
        <v>95</v>
      </c>
      <c r="C19" s="1" t="s">
        <v>96</v>
      </c>
      <c r="D19" s="13" t="n">
        <v>30819</v>
      </c>
      <c r="E19" s="1" t="s">
        <v>36</v>
      </c>
      <c r="F19" s="1" t="s">
        <v>42</v>
      </c>
      <c r="G19" s="1" t="s">
        <v>38</v>
      </c>
      <c r="H19" s="1" t="s">
        <v>51</v>
      </c>
      <c r="I19" s="14" t="n">
        <v>62000</v>
      </c>
    </row>
    <row r="20" customFormat="false" ht="14.25" hidden="false" customHeight="false" outlineLevel="0" collapsed="false">
      <c r="A20" s="1" t="n">
        <v>150995</v>
      </c>
      <c r="B20" s="1" t="s">
        <v>97</v>
      </c>
      <c r="C20" s="1" t="s">
        <v>98</v>
      </c>
      <c r="D20" s="13" t="n">
        <v>35330</v>
      </c>
      <c r="E20" s="1" t="s">
        <v>49</v>
      </c>
      <c r="F20" s="1" t="s">
        <v>37</v>
      </c>
      <c r="G20" s="1" t="s">
        <v>50</v>
      </c>
      <c r="H20" s="1" t="s">
        <v>63</v>
      </c>
      <c r="I20" s="14" t="n">
        <v>15000</v>
      </c>
    </row>
    <row r="21" customFormat="false" ht="14.25" hidden="false" customHeight="false" outlineLevel="0" collapsed="false">
      <c r="A21" s="1" t="n">
        <v>150912</v>
      </c>
      <c r="B21" s="1" t="s">
        <v>99</v>
      </c>
      <c r="C21" s="1" t="s">
        <v>100</v>
      </c>
      <c r="D21" s="13" t="n">
        <v>37629</v>
      </c>
      <c r="E21" s="1" t="s">
        <v>36</v>
      </c>
      <c r="F21" s="1" t="s">
        <v>37</v>
      </c>
      <c r="G21" s="1" t="s">
        <v>101</v>
      </c>
      <c r="H21" s="1" t="s">
        <v>51</v>
      </c>
      <c r="I21" s="14" t="n">
        <v>81000</v>
      </c>
    </row>
    <row r="22" customFormat="false" ht="14.25" hidden="false" customHeight="false" outlineLevel="0" collapsed="false">
      <c r="A22" s="1" t="n">
        <v>150921</v>
      </c>
      <c r="B22" s="1" t="s">
        <v>102</v>
      </c>
      <c r="C22" s="1" t="s">
        <v>103</v>
      </c>
      <c r="D22" s="13" t="n">
        <v>38092</v>
      </c>
      <c r="E22" s="1" t="s">
        <v>49</v>
      </c>
      <c r="F22" s="1" t="s">
        <v>37</v>
      </c>
      <c r="G22" s="1" t="s">
        <v>104</v>
      </c>
      <c r="H22" s="1" t="s">
        <v>51</v>
      </c>
      <c r="I22" s="14" t="n">
        <v>19000</v>
      </c>
      <c r="L22" s="20" t="s">
        <v>105</v>
      </c>
      <c r="M22" s="20"/>
    </row>
    <row r="23" customFormat="false" ht="14.25" hidden="false" customHeight="false" outlineLevel="0" collapsed="false">
      <c r="A23" s="1" t="n">
        <v>150851</v>
      </c>
      <c r="B23" s="1" t="s">
        <v>106</v>
      </c>
      <c r="C23" s="1" t="s">
        <v>107</v>
      </c>
      <c r="D23" s="13" t="n">
        <v>29368</v>
      </c>
      <c r="E23" s="1" t="s">
        <v>49</v>
      </c>
      <c r="F23" s="1" t="s">
        <v>42</v>
      </c>
      <c r="G23" s="1" t="s">
        <v>50</v>
      </c>
      <c r="H23" s="1" t="s">
        <v>69</v>
      </c>
      <c r="I23" s="14" t="n">
        <v>75000</v>
      </c>
      <c r="L23" s="21" t="s">
        <v>108</v>
      </c>
      <c r="M23" s="16" t="s">
        <v>39</v>
      </c>
      <c r="N23" s="16" t="s">
        <v>51</v>
      </c>
      <c r="O23" s="16" t="s">
        <v>69</v>
      </c>
      <c r="P23" s="16" t="s">
        <v>63</v>
      </c>
    </row>
    <row r="24" customFormat="false" ht="14.25" hidden="false" customHeight="false" outlineLevel="0" collapsed="false">
      <c r="A24" s="1" t="n">
        <v>150867</v>
      </c>
      <c r="B24" s="1" t="s">
        <v>109</v>
      </c>
      <c r="C24" s="1" t="s">
        <v>110</v>
      </c>
      <c r="D24" s="13" t="n">
        <v>29028</v>
      </c>
      <c r="E24" s="1" t="s">
        <v>36</v>
      </c>
      <c r="F24" s="1" t="s">
        <v>42</v>
      </c>
      <c r="G24" s="1" t="s">
        <v>104</v>
      </c>
      <c r="H24" s="1" t="s">
        <v>69</v>
      </c>
      <c r="I24" s="14" t="n">
        <v>49000</v>
      </c>
      <c r="L24" s="22" t="s">
        <v>38</v>
      </c>
      <c r="M24" s="18"/>
      <c r="N24" s="18"/>
      <c r="O24" s="18"/>
      <c r="P24" s="18"/>
    </row>
    <row r="25" customFormat="false" ht="14.25" hidden="false" customHeight="false" outlineLevel="0" collapsed="false">
      <c r="A25" s="1" t="n">
        <v>150899</v>
      </c>
      <c r="B25" s="1" t="s">
        <v>111</v>
      </c>
      <c r="C25" s="1" t="s">
        <v>112</v>
      </c>
      <c r="D25" s="13" t="n">
        <v>37400</v>
      </c>
      <c r="E25" s="1" t="s">
        <v>49</v>
      </c>
      <c r="F25" s="1" t="s">
        <v>37</v>
      </c>
      <c r="G25" s="1" t="s">
        <v>84</v>
      </c>
      <c r="H25" s="1" t="s">
        <v>51</v>
      </c>
      <c r="I25" s="14" t="n">
        <v>50000</v>
      </c>
      <c r="L25" s="22" t="s">
        <v>43</v>
      </c>
      <c r="M25" s="18"/>
      <c r="N25" s="18"/>
      <c r="O25" s="18"/>
      <c r="P25" s="18"/>
    </row>
    <row r="26" customFormat="false" ht="14.25" hidden="false" customHeight="false" outlineLevel="0" collapsed="false">
      <c r="A26" s="1" t="n">
        <v>150975</v>
      </c>
      <c r="B26" s="1" t="s">
        <v>113</v>
      </c>
      <c r="C26" s="1" t="s">
        <v>114</v>
      </c>
      <c r="D26" s="13" t="n">
        <v>31478</v>
      </c>
      <c r="E26" s="1" t="s">
        <v>49</v>
      </c>
      <c r="F26" s="1" t="s">
        <v>37</v>
      </c>
      <c r="G26" s="1" t="s">
        <v>104</v>
      </c>
      <c r="H26" s="1" t="s">
        <v>63</v>
      </c>
      <c r="I26" s="14" t="n">
        <v>83000</v>
      </c>
      <c r="L26" s="22" t="s">
        <v>50</v>
      </c>
      <c r="M26" s="18"/>
      <c r="N26" s="18"/>
      <c r="O26" s="18"/>
      <c r="P26" s="18"/>
    </row>
    <row r="27" customFormat="false" ht="14.25" hidden="false" customHeight="false" outlineLevel="0" collapsed="false">
      <c r="A27" s="1" t="n">
        <v>150901</v>
      </c>
      <c r="B27" s="1" t="s">
        <v>115</v>
      </c>
      <c r="C27" s="1" t="s">
        <v>116</v>
      </c>
      <c r="D27" s="13" t="n">
        <v>32946</v>
      </c>
      <c r="E27" s="1" t="s">
        <v>36</v>
      </c>
      <c r="F27" s="1" t="s">
        <v>37</v>
      </c>
      <c r="G27" s="1" t="s">
        <v>117</v>
      </c>
      <c r="H27" s="1" t="s">
        <v>51</v>
      </c>
      <c r="I27" s="14" t="n">
        <v>53000</v>
      </c>
      <c r="L27" s="22" t="s">
        <v>55</v>
      </c>
      <c r="M27" s="18"/>
      <c r="N27" s="18"/>
      <c r="O27" s="18"/>
      <c r="P27" s="18"/>
    </row>
    <row r="28" customFormat="false" ht="14.25" hidden="false" customHeight="false" outlineLevel="0" collapsed="false">
      <c r="A28" s="1" t="n">
        <v>150968</v>
      </c>
      <c r="B28" s="1" t="s">
        <v>118</v>
      </c>
      <c r="C28" s="1" t="s">
        <v>119</v>
      </c>
      <c r="D28" s="13" t="n">
        <v>37208</v>
      </c>
      <c r="E28" s="1" t="s">
        <v>49</v>
      </c>
      <c r="F28" s="1" t="s">
        <v>37</v>
      </c>
      <c r="G28" s="1" t="s">
        <v>101</v>
      </c>
      <c r="H28" s="1" t="s">
        <v>51</v>
      </c>
      <c r="I28" s="14" t="n">
        <v>65000</v>
      </c>
      <c r="L28" s="22" t="s">
        <v>58</v>
      </c>
      <c r="M28" s="18"/>
      <c r="N28" s="18"/>
      <c r="O28" s="18"/>
      <c r="P28" s="18"/>
    </row>
    <row r="29" customFormat="false" ht="14.25" hidden="false" customHeight="false" outlineLevel="0" collapsed="false">
      <c r="A29" s="1" t="n">
        <v>150773</v>
      </c>
      <c r="B29" s="1" t="s">
        <v>120</v>
      </c>
      <c r="C29" s="1" t="s">
        <v>121</v>
      </c>
      <c r="D29" s="13" t="n">
        <v>26860</v>
      </c>
      <c r="E29" s="1" t="s">
        <v>49</v>
      </c>
      <c r="F29" s="1" t="s">
        <v>37</v>
      </c>
      <c r="G29" s="1" t="s">
        <v>104</v>
      </c>
      <c r="H29" s="1" t="s">
        <v>39</v>
      </c>
      <c r="I29" s="14" t="n">
        <v>85000</v>
      </c>
      <c r="L29" s="22" t="s">
        <v>62</v>
      </c>
      <c r="M29" s="18"/>
      <c r="N29" s="18"/>
      <c r="O29" s="18"/>
      <c r="P29" s="18"/>
    </row>
    <row r="30" customFormat="false" ht="14.25" hidden="false" customHeight="false" outlineLevel="0" collapsed="false">
      <c r="A30" s="1" t="n">
        <v>150840</v>
      </c>
      <c r="B30" s="1" t="s">
        <v>86</v>
      </c>
      <c r="C30" s="1" t="s">
        <v>122</v>
      </c>
      <c r="D30" s="13" t="n">
        <v>59661</v>
      </c>
      <c r="E30" s="1" t="s">
        <v>36</v>
      </c>
      <c r="F30" s="1" t="s">
        <v>37</v>
      </c>
      <c r="G30" s="1" t="s">
        <v>50</v>
      </c>
      <c r="H30" s="1" t="s">
        <v>69</v>
      </c>
      <c r="I30" s="14" t="n">
        <v>20000</v>
      </c>
      <c r="L30" s="22" t="s">
        <v>80</v>
      </c>
      <c r="M30" s="18"/>
      <c r="N30" s="18"/>
      <c r="O30" s="18"/>
      <c r="P30" s="18"/>
    </row>
    <row r="31" customFormat="false" ht="14.25" hidden="false" customHeight="false" outlineLevel="0" collapsed="false">
      <c r="A31" s="1" t="n">
        <v>150850</v>
      </c>
      <c r="B31" s="1" t="s">
        <v>73</v>
      </c>
      <c r="C31" s="1" t="s">
        <v>123</v>
      </c>
      <c r="D31" s="13" t="n">
        <v>32027</v>
      </c>
      <c r="E31" s="1" t="s">
        <v>49</v>
      </c>
      <c r="F31" s="1" t="s">
        <v>37</v>
      </c>
      <c r="G31" s="1" t="s">
        <v>84</v>
      </c>
      <c r="H31" s="1" t="s">
        <v>69</v>
      </c>
      <c r="I31" s="14" t="n">
        <v>47000</v>
      </c>
      <c r="L31" s="22" t="s">
        <v>84</v>
      </c>
      <c r="M31" s="18"/>
      <c r="N31" s="18"/>
      <c r="O31" s="18"/>
      <c r="P31" s="18"/>
    </row>
    <row r="32" customFormat="false" ht="14.25" hidden="false" customHeight="false" outlineLevel="0" collapsed="false">
      <c r="A32" s="1" t="n">
        <v>150962</v>
      </c>
      <c r="B32" s="1" t="s">
        <v>124</v>
      </c>
      <c r="C32" s="1" t="s">
        <v>125</v>
      </c>
      <c r="D32" s="13" t="n">
        <v>37773</v>
      </c>
      <c r="E32" s="1" t="s">
        <v>36</v>
      </c>
      <c r="F32" s="1" t="s">
        <v>37</v>
      </c>
      <c r="G32" s="1" t="s">
        <v>58</v>
      </c>
      <c r="H32" s="1" t="s">
        <v>51</v>
      </c>
      <c r="I32" s="14" t="n">
        <v>87000</v>
      </c>
      <c r="L32" s="22" t="s">
        <v>101</v>
      </c>
      <c r="M32" s="18"/>
      <c r="N32" s="18"/>
      <c r="O32" s="18"/>
      <c r="P32" s="18"/>
    </row>
    <row r="33" customFormat="false" ht="14.25" hidden="false" customHeight="false" outlineLevel="0" collapsed="false">
      <c r="A33" s="1" t="n">
        <v>150954</v>
      </c>
      <c r="B33" s="1" t="s">
        <v>126</v>
      </c>
      <c r="C33" s="1" t="s">
        <v>125</v>
      </c>
      <c r="D33" s="13" t="n">
        <v>35495</v>
      </c>
      <c r="E33" s="1" t="s">
        <v>36</v>
      </c>
      <c r="F33" s="1" t="s">
        <v>37</v>
      </c>
      <c r="G33" s="1" t="s">
        <v>117</v>
      </c>
      <c r="H33" s="1" t="s">
        <v>51</v>
      </c>
      <c r="I33" s="14" t="n">
        <v>57000</v>
      </c>
      <c r="L33" s="22" t="s">
        <v>104</v>
      </c>
      <c r="M33" s="18"/>
      <c r="N33" s="18"/>
      <c r="O33" s="18"/>
      <c r="P33" s="18"/>
    </row>
    <row r="34" customFormat="false" ht="14.25" hidden="false" customHeight="false" outlineLevel="0" collapsed="false">
      <c r="A34" s="1" t="n">
        <v>150874</v>
      </c>
      <c r="B34" s="1" t="s">
        <v>127</v>
      </c>
      <c r="C34" s="1" t="s">
        <v>125</v>
      </c>
      <c r="D34" s="13" t="n">
        <v>37890</v>
      </c>
      <c r="E34" s="1" t="s">
        <v>36</v>
      </c>
      <c r="F34" s="1" t="s">
        <v>37</v>
      </c>
      <c r="G34" s="1" t="s">
        <v>55</v>
      </c>
      <c r="H34" s="1" t="s">
        <v>69</v>
      </c>
      <c r="I34" s="14" t="n">
        <v>27000</v>
      </c>
      <c r="L34" s="22" t="s">
        <v>117</v>
      </c>
      <c r="M34" s="18"/>
      <c r="N34" s="18"/>
      <c r="O34" s="18"/>
      <c r="P34" s="18"/>
    </row>
    <row r="35" customFormat="false" ht="14.25" hidden="false" customHeight="false" outlineLevel="0" collapsed="false">
      <c r="A35" s="1" t="n">
        <v>150798</v>
      </c>
      <c r="B35" s="1" t="s">
        <v>128</v>
      </c>
      <c r="C35" s="1" t="s">
        <v>125</v>
      </c>
      <c r="D35" s="13" t="n">
        <v>28276</v>
      </c>
      <c r="E35" s="1" t="s">
        <v>36</v>
      </c>
      <c r="F35" s="1" t="s">
        <v>37</v>
      </c>
      <c r="G35" s="1" t="s">
        <v>43</v>
      </c>
      <c r="H35" s="1" t="s">
        <v>39</v>
      </c>
      <c r="I35" s="14" t="n">
        <v>81000</v>
      </c>
    </row>
    <row r="36" customFormat="false" ht="14.25" hidden="false" customHeight="false" outlineLevel="0" collapsed="false">
      <c r="A36" s="1" t="n">
        <v>150830</v>
      </c>
      <c r="B36" s="1" t="s">
        <v>129</v>
      </c>
      <c r="C36" s="1" t="s">
        <v>130</v>
      </c>
      <c r="D36" s="13" t="n">
        <v>29037</v>
      </c>
      <c r="E36" s="1" t="s">
        <v>36</v>
      </c>
      <c r="F36" s="1" t="s">
        <v>37</v>
      </c>
      <c r="G36" s="1" t="s">
        <v>117</v>
      </c>
      <c r="H36" s="1" t="s">
        <v>39</v>
      </c>
      <c r="I36" s="14" t="n">
        <v>52000</v>
      </c>
    </row>
    <row r="37" customFormat="false" ht="14.25" hidden="false" customHeight="false" outlineLevel="0" collapsed="false">
      <c r="A37" s="1" t="n">
        <v>150929</v>
      </c>
      <c r="B37" s="1" t="s">
        <v>131</v>
      </c>
      <c r="C37" s="1" t="s">
        <v>132</v>
      </c>
      <c r="D37" s="13" t="n">
        <v>26739</v>
      </c>
      <c r="E37" s="1" t="s">
        <v>49</v>
      </c>
      <c r="F37" s="1" t="s">
        <v>37</v>
      </c>
      <c r="G37" s="1" t="s">
        <v>55</v>
      </c>
      <c r="H37" s="1" t="s">
        <v>51</v>
      </c>
      <c r="I37" s="14" t="n">
        <v>58000</v>
      </c>
    </row>
    <row r="38" customFormat="false" ht="14.25" hidden="false" customHeight="false" outlineLevel="0" collapsed="false">
      <c r="A38" s="1" t="n">
        <v>150982</v>
      </c>
      <c r="B38" s="1" t="s">
        <v>133</v>
      </c>
      <c r="C38" s="1" t="s">
        <v>134</v>
      </c>
      <c r="D38" s="13" t="n">
        <v>35574</v>
      </c>
      <c r="E38" s="1" t="s">
        <v>49</v>
      </c>
      <c r="F38" s="1" t="s">
        <v>37</v>
      </c>
      <c r="G38" s="1" t="s">
        <v>55</v>
      </c>
      <c r="H38" s="1" t="s">
        <v>63</v>
      </c>
      <c r="I38" s="14" t="n">
        <v>47000</v>
      </c>
    </row>
    <row r="39" customFormat="false" ht="14.25" hidden="false" customHeight="false" outlineLevel="0" collapsed="false">
      <c r="A39" s="1" t="n">
        <v>150821</v>
      </c>
      <c r="B39" s="1" t="s">
        <v>135</v>
      </c>
      <c r="C39" s="1" t="s">
        <v>136</v>
      </c>
      <c r="D39" s="13" t="n">
        <v>29966</v>
      </c>
      <c r="E39" s="1" t="s">
        <v>49</v>
      </c>
      <c r="F39" s="1" t="s">
        <v>42</v>
      </c>
      <c r="G39" s="1" t="s">
        <v>84</v>
      </c>
      <c r="H39" s="1" t="s">
        <v>39</v>
      </c>
      <c r="I39" s="14" t="n">
        <v>26000</v>
      </c>
    </row>
  </sheetData>
  <mergeCells count="3">
    <mergeCell ref="L4:M4"/>
    <mergeCell ref="L12:M12"/>
    <mergeCell ref="L22:M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aGVXXT4wVwulAAAA9gAAABIAHABDb25maWcvUGFja2FnZS54bWwgohgAKKAUAAAAAAAAAAAAAAAAAAAAAAAAAAAAhY8xDoIwGIWvQrrTlhoTJKUMTiZiTEyMa1MqNMKPocVyNweP5BXEKOrm+L73De/drzeeDU0dXHRnTQspijBFgQbVFgbKFPXuGMYoE3wr1UmWOhhlsMlgixRVzp0TQrz32M9w25WEURqRQ77eqUo3En1k818ODVgnQWkk+P41RjAczWO8YDGmnEyQ5wa+Ahv3PtsfyJd97fpOCw3hasPJFDl5fxAPUEsDBBQAAgAIAGhlV10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oZVddKIpHuA4AAAARAAAAEwAcAEZvcm11bGFzL1NlY3Rpb24xLm0gohgAKKAUAAAAAAAAAAAAAAAAAAAAAAAAAAAAK05NLsnMz1MIhtCG1gBQSwECLQAUAAIACABoZVddPjBXC6UAAAD2AAAAEgAAAAAAAAAAAAAAAAAAAAAAQ29uZmlnL1BhY2thZ2UueG1sUEsBAi0AFAACAAgAaGVXXQ/K6aukAAAA6QAAABMAAAAAAAAAAAAAAAAA8QAAAFtDb250ZW50X1R5cGVzXS54bWxQSwECLQAUAAIACABoZVdd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hSdR4YxpnUKE74vWpvuP5gAAAAACAAAAAAAQZgAAAAEAACAAAABn3RSABD37i3w7c6Y+LIKJpF8jckMdeNFXmnGLYqy56QAAAAAOgAAAAAIAACAAAAAxxz/Qgqeot2qLneYOyb88CAuCUQsTIZSaKBsAUUWG91AAAADoTgGN/kx0lUHRnqkIsHViDbc9pa7Xyr8CukWbR+qSbkjNW9r2Wdl2TNtXY/v1FtsUA5f6WXVn21uWNLqNhy9fWXqns4vbqEBhAOzDmgV6I0AAAAAx/PUzZ/KaQjUzLtc8avBSHtEHFR99HcKyx6LJNcqsFcM5yoHaoRRitHeYyKgdG88IhUkFJnJjuEncUObjgazv</DataMashup>
</file>

<file path=customXml/itemProps1.xml><?xml version="1.0" encoding="utf-8"?>
<ds:datastoreItem xmlns:ds="http://schemas.openxmlformats.org/officeDocument/2006/customXml" ds:itemID="{0166B26D-921F-46FF-BE30-B7F191CC7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2026-09-05T06:54:36Z</dcterms:created>
  <dc:creator>MANSOOR RESH</dc:creator>
  <dc:description/>
  <dc:language>en-IN</dc:language>
  <cp:lastModifiedBy/>
  <dcterms:modified xsi:type="dcterms:W3CDTF">2026-10-28T11:32:06Z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